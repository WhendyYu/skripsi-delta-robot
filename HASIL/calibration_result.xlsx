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<sst xmlns="http://schemas.openxmlformats.org/spreadsheetml/2006/main" count="17" uniqueCount="17">
  <si>
    <t>x_true</t>
  </si>
  <si>
    <t>y_true</t>
  </si>
  <si>
    <t>x_measured</t>
  </si>
  <si>
    <t>y_measured</t>
  </si>
  <si>
    <t>x_error_raw</t>
  </si>
  <si>
    <t>y_error_raw</t>
  </si>
  <si>
    <t>euclidean_error_raw</t>
  </si>
  <si>
    <t>x_calibrated</t>
  </si>
  <si>
    <t>y_calibrated</t>
  </si>
  <si>
    <t>x_error_calibrated</t>
  </si>
  <si>
    <t>y_error_calibrated</t>
  </si>
  <si>
    <t>euclidean_error_calibrated</t>
  </si>
  <si>
    <t>min</t>
  </si>
  <si>
    <t>max</t>
  </si>
  <si>
    <t>average</t>
  </si>
  <si>
    <t>mae</t>
  </si>
  <si>
    <t>rmse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</si>
</sst>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2" xfId="0" applyAlignment="1" applyFont="1" applyNumberFormat="1">
      <alignment horizontal="center" shrinkToFit="0" vertical="center" wrapText="0"/>
    </xf>
    <xf borderId="0" fillId="0" fontId="2" numFmtId="2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horizontal="center" shrinkToFit="0" vertical="center" wrapText="0"/>
    </xf>
    <xf borderId="0" fillId="0" fontId="2" numFmtId="2" xfId="0" applyAlignment="1" applyFont="1" applyNumberFormat="1">
      <alignment horizontal="center" shrinkToFit="0" vertical="center" wrapText="0"/>
    </xf>
    <xf borderId="0" fillId="0" fontId="2" numFmtId="2" xfId="0" applyAlignment="1" applyFont="1" applyNumberFormat="1">
      <alignment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shrinkToFit="0" vertical="center" wrapText="0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2" xfId="0" applyAlignment="1" applyFont="1" applyNumberForma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4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Sheet1-style 2">
      <tableStyleElement dxfId="2" type="firstRowStripe"/>
      <tableStyleElement dxfId="3" type="secondRowStripe"/>
    </tableStyle>
    <tableStyle count="2" pivot="0" name="Sheet1-style 3">
      <tableStyleElement dxfId="2" type="firstRowStripe"/>
      <tableStyleElement dxfId="3" type="secondRowStripe"/>
    </tableStyle>
    <tableStyle count="2" pivot="0" name="Sheet1-style 4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L50" displayName="Table1" name="Table1" id="1">
  <tableColumns count="12">
    <tableColumn name="x_true" id="1"/>
    <tableColumn name="y_true" id="2"/>
    <tableColumn name="x_measured" id="3"/>
    <tableColumn name="y_measured" id="4"/>
    <tableColumn name="x_error_raw" id="5"/>
    <tableColumn name="y_error_raw" id="6"/>
    <tableColumn name="euclidean_error_raw" id="7"/>
    <tableColumn name="x_calibrated" id="8"/>
    <tableColumn name="y_calibrated" id="9"/>
    <tableColumn name="x_error_calibrated" id="10"/>
    <tableColumn name="y_error_calibrated" id="11"/>
    <tableColumn name="euclidean_error_calibrated" id="12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headerRowCount="0" ref="B51:B94" displayName="Table_1" name="Table_1" id="2">
  <tableColumns count="1">
    <tableColumn name="Column1" id="1"/>
  </tableColumns>
  <tableStyleInfo name="Sheet1-style 2" showColumnStripes="0" showFirstColumn="1" showLastColumn="1" showRowStripes="1"/>
</table>
</file>

<file path=xl/tables/table3.xml><?xml version="1.0" encoding="utf-8"?>
<table xmlns="http://schemas.openxmlformats.org/spreadsheetml/2006/main" headerRowCount="0" ref="D54:D57" displayName="Table_2" name="Table_2" id="3">
  <tableColumns count="1">
    <tableColumn name="Column1" id="1"/>
  </tableColumns>
  <tableStyleInfo name="Sheet1-style 3" showColumnStripes="0" showFirstColumn="1" showLastColumn="1" showRowStripes="1"/>
</table>
</file>

<file path=xl/tables/table4.xml><?xml version="1.0" encoding="utf-8"?>
<table xmlns="http://schemas.openxmlformats.org/spreadsheetml/2006/main" headerRowCount="0" ref="E54:J57" displayName="Table_3" name="Table_3" id="4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Sheet1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9" Type="http://schemas.openxmlformats.org/officeDocument/2006/relationships/table" Target="../tables/table4.xml"/><Relationship Id="rId6" Type="http://schemas.openxmlformats.org/officeDocument/2006/relationships/table" Target="../tables/table1.xml"/><Relationship Id="rId7" Type="http://schemas.openxmlformats.org/officeDocument/2006/relationships/table" Target="../tables/table2.xml"/><Relationship Id="rId8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4" width="17.57"/>
    <col customWidth="1" min="5" max="6" width="17.14"/>
    <col customWidth="1" min="7" max="7" width="25.14"/>
    <col customWidth="1" min="8" max="9" width="17.57"/>
    <col customWidth="1" min="10" max="11" width="23.14"/>
    <col customWidth="1" min="12" max="12" width="31.14"/>
    <col customWidth="1" min="13" max="26" width="8.71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</row>
    <row r="2" ht="22.5" customHeight="1">
      <c r="A2" s="3">
        <v>-80.0</v>
      </c>
      <c r="B2" s="3">
        <v>85.0</v>
      </c>
      <c r="C2" s="3">
        <v>-84.67</v>
      </c>
      <c r="D2" s="3">
        <v>70.67</v>
      </c>
      <c r="E2" s="4">
        <f t="shared" ref="E2:F2" si="1">abs(A2-C2)</f>
        <v>4.67</v>
      </c>
      <c r="F2" s="4">
        <f t="shared" si="1"/>
        <v>14.33</v>
      </c>
      <c r="G2" s="4">
        <f t="shared" ref="G2:G45" si="4">sqrt(E2^2+F2^2)</f>
        <v>15.07175504</v>
      </c>
      <c r="H2" s="4">
        <v>-80.15447964564954</v>
      </c>
      <c r="I2" s="4">
        <v>85.12133015118394</v>
      </c>
      <c r="J2" s="4">
        <f t="shared" ref="J2:K2" si="2">ABS(H2-A2)</f>
        <v>0.1544796456</v>
      </c>
      <c r="K2" s="4">
        <f t="shared" si="2"/>
        <v>0.1213301512</v>
      </c>
      <c r="L2" s="4">
        <f t="shared" ref="L2:L45" si="6">SQRT(J2^2+K2^2)</f>
        <v>0.1964305641</v>
      </c>
    </row>
    <row r="3" ht="22.5" customHeight="1">
      <c r="A3" s="3">
        <v>-80.0</v>
      </c>
      <c r="B3" s="3">
        <v>45.0</v>
      </c>
      <c r="C3" s="3">
        <v>-84.67</v>
      </c>
      <c r="D3" s="3">
        <v>28.0</v>
      </c>
      <c r="E3" s="4">
        <f t="shared" ref="E3:F3" si="3">abs(A3-C3)</f>
        <v>4.67</v>
      </c>
      <c r="F3" s="4">
        <f t="shared" si="3"/>
        <v>17</v>
      </c>
      <c r="G3" s="4">
        <f t="shared" si="4"/>
        <v>17.62977311</v>
      </c>
      <c r="H3" s="4">
        <v>-80.21022655991626</v>
      </c>
      <c r="I3" s="4">
        <v>44.66582816107415</v>
      </c>
      <c r="J3" s="4">
        <f t="shared" ref="J3:K3" si="5">ABS(H3-A3)</f>
        <v>0.2102265599</v>
      </c>
      <c r="K3" s="4">
        <f t="shared" si="5"/>
        <v>0.3341718389</v>
      </c>
      <c r="L3" s="4">
        <f t="shared" si="6"/>
        <v>0.3947987138</v>
      </c>
    </row>
    <row r="4" ht="22.5" customHeight="1">
      <c r="A4" s="3">
        <v>-80.0</v>
      </c>
      <c r="B4" s="3">
        <v>5.0</v>
      </c>
      <c r="C4" s="3">
        <v>-84.67</v>
      </c>
      <c r="D4" s="3">
        <v>-14.0</v>
      </c>
      <c r="E4" s="4">
        <f t="shared" ref="E4:F4" si="7">abs(A4-C4)</f>
        <v>4.67</v>
      </c>
      <c r="F4" s="4">
        <f t="shared" si="7"/>
        <v>19</v>
      </c>
      <c r="G4" s="4">
        <f t="shared" si="4"/>
        <v>19.5655028</v>
      </c>
      <c r="H4" s="4">
        <v>-80.16509494017943</v>
      </c>
      <c r="I4" s="4">
        <v>4.976034005643905</v>
      </c>
      <c r="J4" s="4">
        <f t="shared" ref="J4:K4" si="8">ABS(H4-A4)</f>
        <v>0.1650949402</v>
      </c>
      <c r="K4" s="4">
        <f t="shared" si="8"/>
        <v>0.02396599436</v>
      </c>
      <c r="L4" s="4">
        <f t="shared" si="6"/>
        <v>0.1668253822</v>
      </c>
    </row>
    <row r="5" ht="22.5" customHeight="1">
      <c r="A5" s="3">
        <v>-80.0</v>
      </c>
      <c r="B5" s="3">
        <v>-35.0</v>
      </c>
      <c r="C5" s="3">
        <v>-84.67</v>
      </c>
      <c r="D5" s="3">
        <v>-56.0</v>
      </c>
      <c r="E5" s="4">
        <f t="shared" ref="E5:F5" si="9">abs(A5-C5)</f>
        <v>4.67</v>
      </c>
      <c r="F5" s="4">
        <f t="shared" si="9"/>
        <v>21</v>
      </c>
      <c r="G5" s="4">
        <f t="shared" si="4"/>
        <v>21.51299375</v>
      </c>
      <c r="H5" s="4">
        <v>-80.02075145158035</v>
      </c>
      <c r="I5" s="4">
        <v>-34.58431298781436</v>
      </c>
      <c r="J5" s="4">
        <f t="shared" ref="J5:K5" si="10">ABS(H5-A5)</f>
        <v>0.02075145158</v>
      </c>
      <c r="K5" s="4">
        <f t="shared" si="10"/>
        <v>0.4156870122</v>
      </c>
      <c r="L5" s="4">
        <f t="shared" si="6"/>
        <v>0.416204655</v>
      </c>
    </row>
    <row r="6" ht="22.5" customHeight="1">
      <c r="A6" s="3">
        <v>-80.0</v>
      </c>
      <c r="B6" s="3">
        <v>-75.0</v>
      </c>
      <c r="C6" s="3">
        <v>-85.33</v>
      </c>
      <c r="D6" s="3">
        <v>-99.33</v>
      </c>
      <c r="E6" s="4">
        <f t="shared" ref="E6:F6" si="11">abs(A6-C6)</f>
        <v>5.33</v>
      </c>
      <c r="F6" s="4">
        <f t="shared" si="11"/>
        <v>24.33</v>
      </c>
      <c r="G6" s="4">
        <f t="shared" si="4"/>
        <v>24.90698296</v>
      </c>
      <c r="H6" s="4">
        <v>-80.3944156721603</v>
      </c>
      <c r="I6" s="4">
        <v>-75.26069445531633</v>
      </c>
      <c r="J6" s="4">
        <f t="shared" ref="J6:K6" si="12">ABS(H6-A6)</f>
        <v>0.3944156722</v>
      </c>
      <c r="K6" s="4">
        <f t="shared" si="12"/>
        <v>0.2606944553</v>
      </c>
      <c r="L6" s="4">
        <f t="shared" si="6"/>
        <v>0.472784646</v>
      </c>
    </row>
    <row r="7" ht="22.5" customHeight="1">
      <c r="A7" s="3">
        <v>-80.0</v>
      </c>
      <c r="B7" s="3">
        <v>-85.0</v>
      </c>
      <c r="C7" s="3">
        <v>-84.67</v>
      </c>
      <c r="D7" s="3">
        <v>-109.33</v>
      </c>
      <c r="E7" s="4">
        <f t="shared" ref="E7:F7" si="13">abs(A7-C7)</f>
        <v>4.67</v>
      </c>
      <c r="F7" s="4">
        <f t="shared" si="13"/>
        <v>24.33</v>
      </c>
      <c r="G7" s="4">
        <f t="shared" si="4"/>
        <v>24.77413571</v>
      </c>
      <c r="H7" s="4">
        <v>-79.69450244808934</v>
      </c>
      <c r="I7" s="4">
        <v>-84.6299974767087</v>
      </c>
      <c r="J7" s="4">
        <f t="shared" ref="J7:K7" si="14">ABS(H7-A7)</f>
        <v>0.3054975519</v>
      </c>
      <c r="K7" s="4">
        <f t="shared" si="14"/>
        <v>0.3700025233</v>
      </c>
      <c r="L7" s="4">
        <f t="shared" si="6"/>
        <v>0.4798235316</v>
      </c>
    </row>
    <row r="8" ht="22.5" customHeight="1">
      <c r="A8" s="3">
        <v>-80.0</v>
      </c>
      <c r="B8" s="3">
        <v>-45.0</v>
      </c>
      <c r="C8" s="3">
        <v>-84.67</v>
      </c>
      <c r="D8" s="3">
        <v>-66.67</v>
      </c>
      <c r="E8" s="4">
        <f t="shared" ref="E8:F8" si="15">abs(A8-C8)</f>
        <v>4.67</v>
      </c>
      <c r="F8" s="4">
        <f t="shared" si="15"/>
        <v>21.67</v>
      </c>
      <c r="G8" s="4">
        <f t="shared" si="4"/>
        <v>22.16749422</v>
      </c>
      <c r="H8" s="4">
        <v>-79.96827748587445</v>
      </c>
      <c r="I8" s="4">
        <v>-44.61390480616243</v>
      </c>
      <c r="J8" s="4">
        <f t="shared" ref="J8:K8" si="16">ABS(H8-A8)</f>
        <v>0.03172251413</v>
      </c>
      <c r="K8" s="4">
        <f t="shared" si="16"/>
        <v>0.3860951938</v>
      </c>
      <c r="L8" s="4">
        <f t="shared" si="6"/>
        <v>0.3873962011</v>
      </c>
    </row>
    <row r="9" ht="22.5" customHeight="1">
      <c r="A9" s="3">
        <v>-80.0</v>
      </c>
      <c r="B9" s="3">
        <v>-5.0</v>
      </c>
      <c r="C9" s="3">
        <v>-84.0</v>
      </c>
      <c r="D9" s="3">
        <v>-24.0</v>
      </c>
      <c r="E9" s="4">
        <f t="shared" ref="E9:F9" si="17">abs(A9-C9)</f>
        <v>4</v>
      </c>
      <c r="F9" s="4">
        <f t="shared" si="17"/>
        <v>19</v>
      </c>
      <c r="G9" s="4">
        <f t="shared" si="4"/>
        <v>19.41648784</v>
      </c>
      <c r="H9" s="4">
        <v>-79.50232537693508</v>
      </c>
      <c r="I9" s="4">
        <v>-4.456420034210065</v>
      </c>
      <c r="J9" s="4">
        <f t="shared" ref="J9:K9" si="18">ABS(H9-A9)</f>
        <v>0.4976746231</v>
      </c>
      <c r="K9" s="4">
        <f t="shared" si="18"/>
        <v>0.5435799658</v>
      </c>
      <c r="L9" s="4">
        <f t="shared" si="6"/>
        <v>0.7369933579</v>
      </c>
    </row>
    <row r="10" ht="22.5" customHeight="1">
      <c r="A10" s="3">
        <v>-80.0</v>
      </c>
      <c r="B10" s="3">
        <v>35.0</v>
      </c>
      <c r="C10" s="3">
        <v>-84.67</v>
      </c>
      <c r="D10" s="3">
        <v>17.33</v>
      </c>
      <c r="E10" s="4">
        <f t="shared" ref="E10:F10" si="19">abs(A10-C10)</f>
        <v>4.67</v>
      </c>
      <c r="F10" s="4">
        <f t="shared" si="19"/>
        <v>17.67</v>
      </c>
      <c r="G10" s="4">
        <f t="shared" si="4"/>
        <v>18.27670102</v>
      </c>
      <c r="H10" s="4">
        <v>-80.2081616723418</v>
      </c>
      <c r="I10" s="4">
        <v>34.57046485614317</v>
      </c>
      <c r="J10" s="4">
        <f t="shared" ref="J10:K10" si="20">ABS(H10-A10)</f>
        <v>0.2081616723</v>
      </c>
      <c r="K10" s="4">
        <f t="shared" si="20"/>
        <v>0.4295351439</v>
      </c>
      <c r="L10" s="4">
        <f t="shared" si="6"/>
        <v>0.4773172128</v>
      </c>
    </row>
    <row r="11" ht="22.5" customHeight="1">
      <c r="A11" s="3">
        <v>-80.0</v>
      </c>
      <c r="B11" s="3">
        <v>75.0</v>
      </c>
      <c r="C11" s="3">
        <v>-84.67</v>
      </c>
      <c r="D11" s="3">
        <v>59.33</v>
      </c>
      <c r="E11" s="4">
        <f t="shared" ref="E11:F11" si="21">abs(A11-C11)</f>
        <v>4.67</v>
      </c>
      <c r="F11" s="4">
        <f t="shared" si="21"/>
        <v>15.67</v>
      </c>
      <c r="G11" s="4">
        <f t="shared" si="4"/>
        <v>16.35107948</v>
      </c>
      <c r="H11" s="4">
        <v>-80.17928596228211</v>
      </c>
      <c r="I11" s="4">
        <v>74.35682043025395</v>
      </c>
      <c r="J11" s="4">
        <f t="shared" ref="J11:K11" si="22">ABS(H11-A11)</f>
        <v>0.1792859623</v>
      </c>
      <c r="K11" s="4">
        <f t="shared" si="22"/>
        <v>0.6431795697</v>
      </c>
      <c r="L11" s="4">
        <f t="shared" si="6"/>
        <v>0.6677000938</v>
      </c>
    </row>
    <row r="12" ht="22.5" customHeight="1">
      <c r="A12" s="3">
        <v>-30.0</v>
      </c>
      <c r="B12" s="3">
        <v>85.0</v>
      </c>
      <c r="C12" s="3">
        <v>-32.0</v>
      </c>
      <c r="D12" s="3">
        <v>59.33</v>
      </c>
      <c r="E12" s="4">
        <f t="shared" ref="E12:F12" si="23">abs(A12-C12)</f>
        <v>2</v>
      </c>
      <c r="F12" s="4">
        <f t="shared" si="23"/>
        <v>25.67</v>
      </c>
      <c r="G12" s="4">
        <f t="shared" si="4"/>
        <v>25.74779408</v>
      </c>
      <c r="H12" s="4">
        <v>-29.90499157902237</v>
      </c>
      <c r="I12" s="5">
        <v>84.3</v>
      </c>
      <c r="J12" s="4">
        <f t="shared" ref="J12:K12" si="24">ABS(H12-A12)</f>
        <v>0.09500842098</v>
      </c>
      <c r="K12" s="4">
        <f t="shared" si="24"/>
        <v>0.7</v>
      </c>
      <c r="L12" s="4">
        <f t="shared" si="6"/>
        <v>0.7064181482</v>
      </c>
    </row>
    <row r="13" ht="22.5" customHeight="1">
      <c r="A13" s="3">
        <v>-30.0</v>
      </c>
      <c r="B13" s="3">
        <v>45.0</v>
      </c>
      <c r="C13" s="3">
        <v>-32.0</v>
      </c>
      <c r="D13" s="3">
        <v>18.0</v>
      </c>
      <c r="E13" s="4">
        <f t="shared" ref="E13:F13" si="25">abs(A13-C13)</f>
        <v>2</v>
      </c>
      <c r="F13" s="4">
        <f t="shared" si="25"/>
        <v>27</v>
      </c>
      <c r="G13" s="4">
        <f t="shared" si="4"/>
        <v>27.07397274</v>
      </c>
      <c r="H13" s="4">
        <v>-29.99191273838198</v>
      </c>
      <c r="I13" s="5">
        <v>44.55</v>
      </c>
      <c r="J13" s="4">
        <f t="shared" ref="J13:K13" si="26">ABS(H13-A13)</f>
        <v>0.008087261618</v>
      </c>
      <c r="K13" s="4">
        <f t="shared" si="26"/>
        <v>0.45</v>
      </c>
      <c r="L13" s="4">
        <f t="shared" si="6"/>
        <v>0.450072665</v>
      </c>
    </row>
    <row r="14" ht="22.5" customHeight="1">
      <c r="A14" s="3">
        <v>-30.0</v>
      </c>
      <c r="B14" s="3">
        <v>5.0</v>
      </c>
      <c r="C14" s="3">
        <v>-32.0</v>
      </c>
      <c r="D14" s="3">
        <v>-24.0</v>
      </c>
      <c r="E14" s="4">
        <f t="shared" ref="E14:F14" si="27">abs(A14-C14)</f>
        <v>2</v>
      </c>
      <c r="F14" s="4">
        <f t="shared" si="27"/>
        <v>29</v>
      </c>
      <c r="G14" s="4">
        <f t="shared" si="4"/>
        <v>29.06888371</v>
      </c>
      <c r="H14" s="4">
        <v>-29.9818224392323</v>
      </c>
      <c r="I14" s="5">
        <v>4.88</v>
      </c>
      <c r="J14" s="4">
        <f t="shared" ref="J14:K14" si="28">ABS(H14-A14)</f>
        <v>0.01817756077</v>
      </c>
      <c r="K14" s="4">
        <f t="shared" si="28"/>
        <v>0.12</v>
      </c>
      <c r="L14" s="4">
        <f t="shared" si="6"/>
        <v>0.121368957</v>
      </c>
    </row>
    <row r="15" ht="22.5" customHeight="1">
      <c r="A15" s="3">
        <v>-30.0</v>
      </c>
      <c r="B15" s="3">
        <v>-35.0</v>
      </c>
      <c r="C15" s="3">
        <v>-32.0</v>
      </c>
      <c r="D15" s="3">
        <v>-66.67</v>
      </c>
      <c r="E15" s="4">
        <f t="shared" ref="E15:F15" si="29">abs(A15-C15)</f>
        <v>2</v>
      </c>
      <c r="F15" s="4">
        <f t="shared" si="29"/>
        <v>31.67</v>
      </c>
      <c r="G15" s="4">
        <f t="shared" si="4"/>
        <v>31.73308841</v>
      </c>
      <c r="H15" s="4">
        <v>-29.86997268499208</v>
      </c>
      <c r="I15" s="5">
        <v>-35.91</v>
      </c>
      <c r="J15" s="4">
        <f t="shared" ref="J15:K15" si="30">ABS(H15-A15)</f>
        <v>0.130027315</v>
      </c>
      <c r="K15" s="4">
        <f t="shared" si="30"/>
        <v>0.91</v>
      </c>
      <c r="L15" s="4">
        <f t="shared" si="6"/>
        <v>0.9192426789</v>
      </c>
    </row>
    <row r="16" ht="22.5" customHeight="1">
      <c r="A16" s="3">
        <v>-30.0</v>
      </c>
      <c r="B16" s="3">
        <v>-75.0</v>
      </c>
      <c r="C16" s="3">
        <v>-32.0</v>
      </c>
      <c r="D16" s="3">
        <v>-109.33</v>
      </c>
      <c r="E16" s="4">
        <f t="shared" ref="E16:F16" si="31">abs(A16-C16)</f>
        <v>2</v>
      </c>
      <c r="F16" s="4">
        <f t="shared" si="31"/>
        <v>34.33</v>
      </c>
      <c r="G16" s="4">
        <f t="shared" si="4"/>
        <v>34.38820873</v>
      </c>
      <c r="H16" s="4">
        <v>-29.65578269152617</v>
      </c>
      <c r="I16" s="5">
        <v>-74.69</v>
      </c>
      <c r="J16" s="4">
        <f t="shared" ref="J16:K16" si="32">ABS(H16-A16)</f>
        <v>0.3442173085</v>
      </c>
      <c r="K16" s="4">
        <f t="shared" si="32"/>
        <v>0.31</v>
      </c>
      <c r="L16" s="4">
        <f t="shared" si="6"/>
        <v>0.4632338021</v>
      </c>
    </row>
    <row r="17" ht="22.5" customHeight="1">
      <c r="A17" s="3">
        <v>-30.0</v>
      </c>
      <c r="B17" s="3">
        <v>-85.0</v>
      </c>
      <c r="C17" s="3">
        <v>-32.67</v>
      </c>
      <c r="D17" s="3">
        <v>-99.33</v>
      </c>
      <c r="E17" s="4">
        <f t="shared" ref="E17:F17" si="33">abs(A17-C17)</f>
        <v>2.67</v>
      </c>
      <c r="F17" s="4">
        <f t="shared" si="33"/>
        <v>14.33</v>
      </c>
      <c r="G17" s="4">
        <f t="shared" si="4"/>
        <v>14.57661826</v>
      </c>
      <c r="H17" s="4">
        <v>-30.35252510651551</v>
      </c>
      <c r="I17" s="5">
        <v>-84.05</v>
      </c>
      <c r="J17" s="4">
        <f t="shared" ref="J17:K17" si="34">ABS(H17-A17)</f>
        <v>0.3525251065</v>
      </c>
      <c r="K17" s="4">
        <f t="shared" si="34"/>
        <v>0.95</v>
      </c>
      <c r="L17" s="4">
        <f t="shared" si="6"/>
        <v>1.01329855</v>
      </c>
    </row>
    <row r="18" ht="22.5" customHeight="1">
      <c r="A18" s="3">
        <v>-30.0</v>
      </c>
      <c r="B18" s="3">
        <v>-45.0</v>
      </c>
      <c r="C18" s="3">
        <v>-32.0</v>
      </c>
      <c r="D18" s="3">
        <v>-56.0</v>
      </c>
      <c r="E18" s="4">
        <f t="shared" ref="E18:F18" si="35">abs(A18-C18)</f>
        <v>2</v>
      </c>
      <c r="F18" s="4">
        <f t="shared" si="35"/>
        <v>11</v>
      </c>
      <c r="G18" s="4">
        <f t="shared" si="4"/>
        <v>11.18033989</v>
      </c>
      <c r="H18" s="4">
        <v>-29.9075434059046</v>
      </c>
      <c r="I18" s="5">
        <v>-44.68</v>
      </c>
      <c r="J18" s="4">
        <f t="shared" ref="J18:K18" si="36">ABS(H18-A18)</f>
        <v>0.0924565941</v>
      </c>
      <c r="K18" s="4">
        <f t="shared" si="36"/>
        <v>0.32</v>
      </c>
      <c r="L18" s="4">
        <f t="shared" si="6"/>
        <v>0.3330889097</v>
      </c>
    </row>
    <row r="19" ht="22.5" customHeight="1">
      <c r="A19" s="3">
        <v>-30.0</v>
      </c>
      <c r="B19" s="3">
        <v>-5.0</v>
      </c>
      <c r="C19" s="3">
        <v>-32.0</v>
      </c>
      <c r="D19" s="3">
        <v>-14.0</v>
      </c>
      <c r="E19" s="4">
        <f t="shared" ref="E19:F19" si="37">abs(A19-C19)</f>
        <v>2</v>
      </c>
      <c r="F19" s="4">
        <f t="shared" si="37"/>
        <v>9</v>
      </c>
      <c r="G19" s="4">
        <f t="shared" si="4"/>
        <v>9.219544457</v>
      </c>
      <c r="H19" s="4">
        <v>-29.9932237003779</v>
      </c>
      <c r="I19" s="5">
        <v>-5.17</v>
      </c>
      <c r="J19" s="4">
        <f t="shared" ref="J19:K19" si="38">ABS(H19-A19)</f>
        <v>0.006776299622</v>
      </c>
      <c r="K19" s="4">
        <f t="shared" si="38"/>
        <v>0.17</v>
      </c>
      <c r="L19" s="4">
        <f t="shared" si="6"/>
        <v>0.170135</v>
      </c>
    </row>
    <row r="20" ht="22.5" customHeight="1">
      <c r="A20" s="3">
        <v>-30.0</v>
      </c>
      <c r="B20" s="3">
        <v>35.0</v>
      </c>
      <c r="C20" s="3">
        <v>-32.0</v>
      </c>
      <c r="D20" s="3">
        <v>28.67</v>
      </c>
      <c r="E20" s="4">
        <f t="shared" ref="E20:F20" si="39">abs(A20-C20)</f>
        <v>2</v>
      </c>
      <c r="F20" s="4">
        <f t="shared" si="39"/>
        <v>6.33</v>
      </c>
      <c r="G20" s="4">
        <f t="shared" si="4"/>
        <v>6.638441082</v>
      </c>
      <c r="H20" s="4">
        <v>-29.97867230875415</v>
      </c>
      <c r="I20" s="5">
        <v>34.46</v>
      </c>
      <c r="J20" s="4">
        <f t="shared" ref="J20:K20" si="40">ABS(H20-A20)</f>
        <v>0.02132769125</v>
      </c>
      <c r="K20" s="4">
        <f t="shared" si="40"/>
        <v>0.54</v>
      </c>
      <c r="L20" s="4">
        <f t="shared" si="6"/>
        <v>0.5404210122</v>
      </c>
    </row>
    <row r="21" ht="15.75" customHeight="1">
      <c r="A21" s="3">
        <v>-30.0</v>
      </c>
      <c r="B21" s="3">
        <v>75.0</v>
      </c>
      <c r="C21" s="3">
        <v>-31.33</v>
      </c>
      <c r="D21" s="3">
        <v>70.0</v>
      </c>
      <c r="E21" s="4">
        <f t="shared" ref="E21:F21" si="41">abs(A21-C21)</f>
        <v>1.33</v>
      </c>
      <c r="F21" s="4">
        <f t="shared" si="41"/>
        <v>5</v>
      </c>
      <c r="G21" s="4">
        <f t="shared" si="4"/>
        <v>5.173867026</v>
      </c>
      <c r="H21" s="4">
        <v>-29.22657413859358</v>
      </c>
      <c r="I21" s="5">
        <v>76.56</v>
      </c>
      <c r="J21" s="4">
        <f t="shared" ref="J21:K21" si="42">ABS(H21-A21)</f>
        <v>0.7734258614</v>
      </c>
      <c r="K21" s="4">
        <f t="shared" si="42"/>
        <v>1.56</v>
      </c>
      <c r="L21" s="4">
        <f t="shared" si="6"/>
        <v>1.741202907</v>
      </c>
    </row>
    <row r="22" ht="15.75" customHeight="1">
      <c r="A22" s="3">
        <v>30.0</v>
      </c>
      <c r="B22" s="3">
        <v>85.0</v>
      </c>
      <c r="C22" s="3">
        <v>30.67</v>
      </c>
      <c r="D22" s="3">
        <v>70.67</v>
      </c>
      <c r="E22" s="4">
        <f t="shared" ref="E22:F22" si="43">abs(A22-C22)</f>
        <v>0.67</v>
      </c>
      <c r="F22" s="4">
        <f t="shared" si="43"/>
        <v>14.33</v>
      </c>
      <c r="G22" s="4">
        <f t="shared" si="4"/>
        <v>14.34565439</v>
      </c>
      <c r="H22" s="4">
        <v>30.10744470480677</v>
      </c>
      <c r="I22" s="4">
        <v>84.90717318753025</v>
      </c>
      <c r="J22" s="4">
        <f t="shared" ref="J22:K22" si="44">ABS(H22-A22)</f>
        <v>0.1074447048</v>
      </c>
      <c r="K22" s="4">
        <f t="shared" si="44"/>
        <v>0.09282681247</v>
      </c>
      <c r="L22" s="4">
        <f t="shared" si="6"/>
        <v>0.1419900761</v>
      </c>
    </row>
    <row r="23" ht="15.75" customHeight="1">
      <c r="A23" s="3">
        <v>30.0</v>
      </c>
      <c r="B23" s="3">
        <v>45.0</v>
      </c>
      <c r="C23" s="3">
        <v>30.67</v>
      </c>
      <c r="D23" s="3">
        <v>28.0</v>
      </c>
      <c r="E23" s="4">
        <f t="shared" ref="E23:F23" si="45">abs(A23-C23)</f>
        <v>0.67</v>
      </c>
      <c r="F23" s="4">
        <f t="shared" si="45"/>
        <v>17</v>
      </c>
      <c r="G23" s="4">
        <f t="shared" si="4"/>
        <v>17.01319782</v>
      </c>
      <c r="H23" s="4">
        <v>29.92118421516838</v>
      </c>
      <c r="I23" s="4">
        <v>44.50328149063674</v>
      </c>
      <c r="J23" s="4">
        <f t="shared" ref="J23:K23" si="46">ABS(H23-A23)</f>
        <v>0.07881578483</v>
      </c>
      <c r="K23" s="4">
        <f t="shared" si="46"/>
        <v>0.4967185094</v>
      </c>
      <c r="L23" s="4">
        <f t="shared" si="6"/>
        <v>0.5029326053</v>
      </c>
    </row>
    <row r="24" ht="15.75" customHeight="1">
      <c r="A24" s="3">
        <v>30.0</v>
      </c>
      <c r="B24" s="3">
        <v>5.0</v>
      </c>
      <c r="C24" s="3">
        <v>30.67</v>
      </c>
      <c r="D24" s="3">
        <v>-14.0</v>
      </c>
      <c r="E24" s="4">
        <f t="shared" ref="E24:F24" si="47">abs(A24-C24)</f>
        <v>0.67</v>
      </c>
      <c r="F24" s="4">
        <f t="shared" si="47"/>
        <v>19</v>
      </c>
      <c r="G24" s="4">
        <f t="shared" si="4"/>
        <v>19.01180949</v>
      </c>
      <c r="H24" s="4">
        <v>29.83785157041939</v>
      </c>
      <c r="I24" s="4">
        <v>4.864287248848022</v>
      </c>
      <c r="J24" s="4">
        <f t="shared" ref="J24:K24" si="48">ABS(H24-A24)</f>
        <v>0.1621484296</v>
      </c>
      <c r="K24" s="4">
        <f t="shared" si="48"/>
        <v>0.1357127512</v>
      </c>
      <c r="L24" s="4">
        <f t="shared" si="6"/>
        <v>0.2114475444</v>
      </c>
    </row>
    <row r="25" ht="15.75" customHeight="1">
      <c r="A25" s="3">
        <v>30.0</v>
      </c>
      <c r="B25" s="3">
        <v>-35.0</v>
      </c>
      <c r="C25" s="3">
        <v>30.67</v>
      </c>
      <c r="D25" s="3">
        <v>-56.0</v>
      </c>
      <c r="E25" s="4">
        <f t="shared" ref="E25:F25" si="49">abs(A25-C25)</f>
        <v>0.67</v>
      </c>
      <c r="F25" s="4">
        <f t="shared" si="49"/>
        <v>21</v>
      </c>
      <c r="G25" s="4">
        <f t="shared" si="4"/>
        <v>21.01068538</v>
      </c>
      <c r="H25" s="4">
        <v>29.85373079453265</v>
      </c>
      <c r="I25" s="4">
        <v>-34.64525983096871</v>
      </c>
      <c r="J25" s="4">
        <f t="shared" ref="J25:K25" si="50">ABS(H25-A25)</f>
        <v>0.1462692055</v>
      </c>
      <c r="K25" s="4">
        <f t="shared" si="50"/>
        <v>0.354740169</v>
      </c>
      <c r="L25" s="4">
        <f t="shared" si="6"/>
        <v>0.3837124809</v>
      </c>
    </row>
    <row r="26" ht="15.75" customHeight="1">
      <c r="A26" s="3">
        <v>30.0</v>
      </c>
      <c r="B26" s="3">
        <v>-75.0</v>
      </c>
      <c r="C26" s="3">
        <v>31.33</v>
      </c>
      <c r="D26" s="3">
        <v>-98.67</v>
      </c>
      <c r="E26" s="4">
        <f t="shared" ref="E26:F26" si="51">abs(A26-C26)</f>
        <v>1.33</v>
      </c>
      <c r="F26" s="4">
        <f t="shared" si="51"/>
        <v>23.67</v>
      </c>
      <c r="G26" s="4">
        <f t="shared" si="4"/>
        <v>23.70733642</v>
      </c>
      <c r="H26" s="4">
        <v>30.60085414478411</v>
      </c>
      <c r="I26" s="4">
        <v>-74.65157038028113</v>
      </c>
      <c r="J26" s="4">
        <f t="shared" ref="J26:K26" si="52">ABS(H26-A26)</f>
        <v>0.6008541448</v>
      </c>
      <c r="K26" s="4">
        <f t="shared" si="52"/>
        <v>0.3484296197</v>
      </c>
      <c r="L26" s="4">
        <f t="shared" si="6"/>
        <v>0.694571021</v>
      </c>
    </row>
    <row r="27" ht="15.75" customHeight="1">
      <c r="A27" s="3">
        <v>30.0</v>
      </c>
      <c r="B27" s="3">
        <v>-85.0</v>
      </c>
      <c r="C27" s="3">
        <v>30.0</v>
      </c>
      <c r="D27" s="3">
        <v>-108.67</v>
      </c>
      <c r="E27" s="4">
        <f t="shared" ref="E27:F27" si="53">abs(A27-C27)</f>
        <v>0</v>
      </c>
      <c r="F27" s="4">
        <f t="shared" si="53"/>
        <v>23.67</v>
      </c>
      <c r="G27" s="4">
        <f t="shared" si="4"/>
        <v>23.67</v>
      </c>
      <c r="H27" s="4">
        <v>29.37512991409346</v>
      </c>
      <c r="I27" s="5">
        <v>-84.68</v>
      </c>
      <c r="J27" s="4">
        <f t="shared" ref="J27:K27" si="54">ABS(H27-A27)</f>
        <v>0.6248700859</v>
      </c>
      <c r="K27" s="4">
        <f t="shared" si="54"/>
        <v>0.32</v>
      </c>
      <c r="L27" s="4">
        <f t="shared" si="6"/>
        <v>0.7020417539</v>
      </c>
    </row>
    <row r="28" ht="15.75" customHeight="1">
      <c r="A28" s="3">
        <v>30.0</v>
      </c>
      <c r="B28" s="3">
        <v>-45.0</v>
      </c>
      <c r="C28" s="3">
        <v>30.67</v>
      </c>
      <c r="D28" s="3">
        <v>-66.0</v>
      </c>
      <c r="E28" s="4">
        <f t="shared" ref="E28:F28" si="55">abs(A28-C28)</f>
        <v>0.67</v>
      </c>
      <c r="F28" s="4">
        <f t="shared" si="55"/>
        <v>21</v>
      </c>
      <c r="G28" s="4">
        <f t="shared" si="4"/>
        <v>21.01068538</v>
      </c>
      <c r="H28" s="4">
        <v>29.8721346267502</v>
      </c>
      <c r="I28" s="4">
        <v>-44.03321533630336</v>
      </c>
      <c r="J28" s="4">
        <f t="shared" ref="J28:K28" si="56">ABS(H28-A28)</f>
        <v>0.1278653732</v>
      </c>
      <c r="K28" s="4">
        <f t="shared" si="56"/>
        <v>0.9667846637</v>
      </c>
      <c r="L28" s="4">
        <f t="shared" si="6"/>
        <v>0.9752036401</v>
      </c>
    </row>
    <row r="29" ht="15.75" customHeight="1">
      <c r="A29" s="3">
        <v>30.0</v>
      </c>
      <c r="B29" s="3">
        <v>-5.0</v>
      </c>
      <c r="C29" s="3">
        <v>30.0</v>
      </c>
      <c r="D29" s="3">
        <v>-24.67</v>
      </c>
      <c r="E29" s="4">
        <f t="shared" ref="E29:F29" si="57">abs(A29-C29)</f>
        <v>0</v>
      </c>
      <c r="F29" s="4">
        <f t="shared" si="57"/>
        <v>19.67</v>
      </c>
      <c r="G29" s="4">
        <f t="shared" si="4"/>
        <v>19.67</v>
      </c>
      <c r="H29" s="4">
        <v>29.19225804345785</v>
      </c>
      <c r="I29" s="4">
        <v>-5.185714253042626</v>
      </c>
      <c r="J29" s="4">
        <f t="shared" ref="J29:K29" si="58">ABS(H29-A29)</f>
        <v>0.8077419565</v>
      </c>
      <c r="K29" s="4">
        <f t="shared" si="58"/>
        <v>0.185714253</v>
      </c>
      <c r="L29" s="4">
        <f t="shared" si="6"/>
        <v>0.8288165371</v>
      </c>
    </row>
    <row r="30" ht="15.75" customHeight="1">
      <c r="A30" s="3">
        <v>30.0</v>
      </c>
      <c r="B30" s="3">
        <v>35.0</v>
      </c>
      <c r="C30" s="3">
        <v>30.67</v>
      </c>
      <c r="D30" s="3">
        <v>17.33</v>
      </c>
      <c r="E30" s="4">
        <f t="shared" ref="E30:F30" si="59">abs(A30-C30)</f>
        <v>0.67</v>
      </c>
      <c r="F30" s="4">
        <f t="shared" si="59"/>
        <v>17.67</v>
      </c>
      <c r="G30" s="4">
        <f t="shared" si="4"/>
        <v>17.68269776</v>
      </c>
      <c r="H30" s="4">
        <v>29.89061306221752</v>
      </c>
      <c r="I30" s="4">
        <v>34.42082378281421</v>
      </c>
      <c r="J30" s="4">
        <f t="shared" ref="J30:K30" si="60">ABS(H30-A30)</f>
        <v>0.1093869378</v>
      </c>
      <c r="K30" s="4">
        <f t="shared" si="60"/>
        <v>0.5791762172</v>
      </c>
      <c r="L30" s="4">
        <f t="shared" si="6"/>
        <v>0.589415467</v>
      </c>
    </row>
    <row r="31" ht="15.75" customHeight="1">
      <c r="A31" s="3">
        <v>30.0</v>
      </c>
      <c r="B31" s="3">
        <v>75.0</v>
      </c>
      <c r="C31" s="3">
        <v>30.0</v>
      </c>
      <c r="D31" s="3">
        <v>60.0</v>
      </c>
      <c r="E31" s="4">
        <f t="shared" ref="E31:F31" si="61">abs(A31-C31)</f>
        <v>0</v>
      </c>
      <c r="F31" s="4">
        <f t="shared" si="61"/>
        <v>15</v>
      </c>
      <c r="G31" s="4">
        <f t="shared" si="4"/>
        <v>15</v>
      </c>
      <c r="H31" s="4">
        <v>29.4095356476213</v>
      </c>
      <c r="I31" s="4">
        <v>74.79147048511118</v>
      </c>
      <c r="J31" s="4">
        <f t="shared" ref="J31:K31" si="62">ABS(H31-A31)</f>
        <v>0.5904643524</v>
      </c>
      <c r="K31" s="4">
        <f t="shared" si="62"/>
        <v>0.2085295149</v>
      </c>
      <c r="L31" s="4">
        <f t="shared" si="6"/>
        <v>0.6262050064</v>
      </c>
    </row>
    <row r="32" ht="15.75" customHeight="1">
      <c r="A32" s="3">
        <v>80.0</v>
      </c>
      <c r="B32" s="3">
        <v>85.0</v>
      </c>
      <c r="C32" s="3">
        <v>82.67</v>
      </c>
      <c r="D32" s="3">
        <v>59.33</v>
      </c>
      <c r="E32" s="4">
        <f t="shared" ref="E32:F32" si="63">abs(A32-C32)</f>
        <v>2.67</v>
      </c>
      <c r="F32" s="4">
        <f t="shared" si="63"/>
        <v>25.67</v>
      </c>
      <c r="G32" s="4">
        <f t="shared" si="4"/>
        <v>25.8084831</v>
      </c>
      <c r="H32" s="4">
        <v>79.90362419151332</v>
      </c>
      <c r="I32" s="5">
        <v>83.66</v>
      </c>
      <c r="J32" s="4">
        <f t="shared" ref="J32:K32" si="64">ABS(H32-A32)</f>
        <v>0.09637580849</v>
      </c>
      <c r="K32" s="4">
        <f t="shared" si="64"/>
        <v>1.34</v>
      </c>
      <c r="L32" s="4">
        <f t="shared" si="6"/>
        <v>1.343461312</v>
      </c>
    </row>
    <row r="33" ht="15.75" customHeight="1">
      <c r="A33" s="3">
        <v>80.0</v>
      </c>
      <c r="B33" s="3">
        <v>45.0</v>
      </c>
      <c r="C33" s="3">
        <v>83.33</v>
      </c>
      <c r="D33" s="3">
        <v>17.33</v>
      </c>
      <c r="E33" s="4">
        <f t="shared" ref="E33:F33" si="65">abs(A33-C33)</f>
        <v>3.33</v>
      </c>
      <c r="F33" s="4">
        <f t="shared" si="65"/>
        <v>27.67</v>
      </c>
      <c r="G33" s="4">
        <f t="shared" si="4"/>
        <v>27.86965734</v>
      </c>
      <c r="H33" s="4">
        <v>80.32105758865548</v>
      </c>
      <c r="I33" s="5">
        <v>43.91</v>
      </c>
      <c r="J33" s="4">
        <f t="shared" ref="J33:K33" si="66">ABS(H33-A33)</f>
        <v>0.3210575887</v>
      </c>
      <c r="K33" s="4">
        <f t="shared" si="66"/>
        <v>1.09</v>
      </c>
      <c r="L33" s="4">
        <f t="shared" si="6"/>
        <v>1.136300126</v>
      </c>
    </row>
    <row r="34" ht="15.75" customHeight="1">
      <c r="A34" s="3">
        <v>80.0</v>
      </c>
      <c r="B34" s="3">
        <v>5.0</v>
      </c>
      <c r="C34" s="3">
        <v>83.33</v>
      </c>
      <c r="D34" s="3">
        <v>-24.67</v>
      </c>
      <c r="E34" s="4">
        <f t="shared" ref="E34:F34" si="67">abs(A34-C34)</f>
        <v>3.33</v>
      </c>
      <c r="F34" s="4">
        <f t="shared" si="67"/>
        <v>29.67</v>
      </c>
      <c r="G34" s="4">
        <f t="shared" si="4"/>
        <v>29.85628577</v>
      </c>
      <c r="H34" s="4">
        <v>80.20427742672265</v>
      </c>
      <c r="I34" s="5">
        <v>4.3</v>
      </c>
      <c r="J34" s="4">
        <f t="shared" ref="J34:K34" si="68">ABS(H34-A34)</f>
        <v>0.2042774267</v>
      </c>
      <c r="K34" s="4">
        <f t="shared" si="68"/>
        <v>0.7</v>
      </c>
      <c r="L34" s="4">
        <f t="shared" si="6"/>
        <v>0.7291976872</v>
      </c>
    </row>
    <row r="35" ht="15.75" customHeight="1">
      <c r="A35" s="3">
        <v>80.0</v>
      </c>
      <c r="B35" s="3">
        <v>-35.0</v>
      </c>
      <c r="C35" s="3">
        <v>83.33</v>
      </c>
      <c r="D35" s="3">
        <v>-66.67</v>
      </c>
      <c r="E35" s="4">
        <f t="shared" ref="E35:F35" si="69">abs(A35-C35)</f>
        <v>3.33</v>
      </c>
      <c r="F35" s="4">
        <f t="shared" si="69"/>
        <v>31.67</v>
      </c>
      <c r="G35" s="4">
        <f t="shared" si="4"/>
        <v>31.84458824</v>
      </c>
      <c r="H35" s="4">
        <v>80.18670913365209</v>
      </c>
      <c r="I35" s="5">
        <v>-34.56</v>
      </c>
      <c r="J35" s="4">
        <f t="shared" ref="J35:K35" si="70">ABS(H35-A35)</f>
        <v>0.1867091337</v>
      </c>
      <c r="K35" s="4">
        <f t="shared" si="70"/>
        <v>0.44</v>
      </c>
      <c r="L35" s="4">
        <f t="shared" si="6"/>
        <v>0.4779752092</v>
      </c>
    </row>
    <row r="36" ht="15.75" customHeight="1">
      <c r="A36" s="3">
        <v>80.0</v>
      </c>
      <c r="B36" s="3">
        <v>-75.0</v>
      </c>
      <c r="C36" s="3">
        <v>82.67</v>
      </c>
      <c r="D36" s="3">
        <v>-108.67</v>
      </c>
      <c r="E36" s="4">
        <f t="shared" ref="E36:F36" si="71">abs(A36-C36)</f>
        <v>2.67</v>
      </c>
      <c r="F36" s="4">
        <f t="shared" si="71"/>
        <v>33.67</v>
      </c>
      <c r="G36" s="4">
        <f t="shared" si="4"/>
        <v>33.77569836</v>
      </c>
      <c r="H36" s="4">
        <v>79.63786768083237</v>
      </c>
      <c r="I36" s="5">
        <v>-73.92</v>
      </c>
      <c r="J36" s="4">
        <f t="shared" ref="J36:K36" si="72">ABS(H36-A36)</f>
        <v>0.3621323192</v>
      </c>
      <c r="K36" s="4">
        <f t="shared" si="72"/>
        <v>1.08</v>
      </c>
      <c r="L36" s="4">
        <f t="shared" si="6"/>
        <v>1.139096052</v>
      </c>
    </row>
    <row r="37" ht="15.75" customHeight="1">
      <c r="A37" s="3">
        <v>80.0</v>
      </c>
      <c r="B37" s="3">
        <v>-85.0</v>
      </c>
      <c r="C37" s="3">
        <v>83.33</v>
      </c>
      <c r="D37" s="3">
        <v>-98.0</v>
      </c>
      <c r="E37" s="4">
        <f t="shared" ref="E37:F37" si="73">abs(A37-C37)</f>
        <v>3.33</v>
      </c>
      <c r="F37" s="4">
        <f t="shared" si="73"/>
        <v>13</v>
      </c>
      <c r="G37" s="4">
        <f t="shared" si="4"/>
        <v>13.41972056</v>
      </c>
      <c r="H37" s="4">
        <v>80.23821066043992</v>
      </c>
      <c r="I37" s="5">
        <v>-83.9</v>
      </c>
      <c r="J37" s="4">
        <f t="shared" ref="J37:K37" si="74">ABS(H37-A37)</f>
        <v>0.2382106604</v>
      </c>
      <c r="K37" s="4">
        <f t="shared" si="74"/>
        <v>1.1</v>
      </c>
      <c r="L37" s="4">
        <f t="shared" si="6"/>
        <v>1.125497365</v>
      </c>
    </row>
    <row r="38" ht="15.75" customHeight="1">
      <c r="A38" s="3">
        <v>80.0</v>
      </c>
      <c r="B38" s="3">
        <v>-45.0</v>
      </c>
      <c r="C38" s="3">
        <v>83.33</v>
      </c>
      <c r="D38" s="3">
        <v>-56.0</v>
      </c>
      <c r="E38" s="4">
        <f t="shared" ref="E38:F38" si="75">abs(A38-C38)</f>
        <v>3.33</v>
      </c>
      <c r="F38" s="4">
        <f t="shared" si="75"/>
        <v>11</v>
      </c>
      <c r="G38" s="4">
        <f t="shared" si="4"/>
        <v>11.49299352</v>
      </c>
      <c r="H38" s="4">
        <v>80.18177162371396</v>
      </c>
      <c r="I38" s="5">
        <v>-44.57</v>
      </c>
      <c r="J38" s="4">
        <f t="shared" ref="J38:K38" si="76">ABS(H38-A38)</f>
        <v>0.1817716237</v>
      </c>
      <c r="K38" s="4">
        <f t="shared" si="76"/>
        <v>0.43</v>
      </c>
      <c r="L38" s="4">
        <f t="shared" si="6"/>
        <v>0.4668414326</v>
      </c>
    </row>
    <row r="39" ht="15.75" customHeight="1">
      <c r="A39" s="3">
        <v>80.0</v>
      </c>
      <c r="B39" s="3">
        <v>-5.0</v>
      </c>
      <c r="C39" s="3">
        <v>83.33</v>
      </c>
      <c r="D39" s="3">
        <v>-14.0</v>
      </c>
      <c r="E39" s="4">
        <f t="shared" ref="E39:F39" si="77">abs(A39-C39)</f>
        <v>3.33</v>
      </c>
      <c r="F39" s="4">
        <f t="shared" si="77"/>
        <v>9</v>
      </c>
      <c r="G39" s="4">
        <f t="shared" si="4"/>
        <v>9.59629616</v>
      </c>
      <c r="H39" s="4">
        <v>80.22454445585025</v>
      </c>
      <c r="I39" s="5">
        <v>-5.11</v>
      </c>
      <c r="J39" s="4">
        <f t="shared" ref="J39:K39" si="78">ABS(H39-A39)</f>
        <v>0.2245444559</v>
      </c>
      <c r="K39" s="4">
        <f t="shared" si="78"/>
        <v>0.11</v>
      </c>
      <c r="L39" s="4">
        <f t="shared" si="6"/>
        <v>0.250040422</v>
      </c>
    </row>
    <row r="40" ht="15.75" customHeight="1">
      <c r="A40" s="3">
        <v>80.0</v>
      </c>
      <c r="B40" s="3">
        <v>35.0</v>
      </c>
      <c r="C40" s="3">
        <v>82.67</v>
      </c>
      <c r="D40" s="3">
        <v>27.33</v>
      </c>
      <c r="E40" s="4">
        <f t="shared" ref="E40:F40" si="79">abs(A40-C40)</f>
        <v>2.67</v>
      </c>
      <c r="F40" s="4">
        <f t="shared" si="79"/>
        <v>7.67</v>
      </c>
      <c r="G40" s="4">
        <f t="shared" si="4"/>
        <v>8.121440759</v>
      </c>
      <c r="H40" s="4">
        <v>79.73062010181205</v>
      </c>
      <c r="I40" s="5">
        <v>34.47</v>
      </c>
      <c r="J40" s="4">
        <f t="shared" ref="J40:K40" si="80">ABS(H40-A40)</f>
        <v>0.2693798982</v>
      </c>
      <c r="K40" s="4">
        <f t="shared" si="80"/>
        <v>0.53</v>
      </c>
      <c r="L40" s="4">
        <f t="shared" si="6"/>
        <v>0.5945296709</v>
      </c>
    </row>
    <row r="41" ht="15.75" customHeight="1">
      <c r="A41" s="3">
        <v>80.0</v>
      </c>
      <c r="B41" s="3">
        <v>75.0</v>
      </c>
      <c r="C41" s="3">
        <v>82.67</v>
      </c>
      <c r="D41" s="3">
        <v>70.0</v>
      </c>
      <c r="E41" s="4">
        <f t="shared" ref="E41:F41" si="81">abs(A41-C41)</f>
        <v>2.67</v>
      </c>
      <c r="F41" s="4">
        <f t="shared" si="81"/>
        <v>5</v>
      </c>
      <c r="G41" s="4">
        <f t="shared" si="4"/>
        <v>5.668236057</v>
      </c>
      <c r="H41" s="4">
        <v>79.97411354841041</v>
      </c>
      <c r="I41" s="5">
        <v>74.18</v>
      </c>
      <c r="J41" s="4">
        <f t="shared" ref="J41:K41" si="82">ABS(H41-A41)</f>
        <v>0.02588645159</v>
      </c>
      <c r="K41" s="4">
        <f t="shared" si="82"/>
        <v>0.82</v>
      </c>
      <c r="L41" s="4">
        <f t="shared" si="6"/>
        <v>0.8204085009</v>
      </c>
    </row>
    <row r="42" ht="15.75" customHeight="1">
      <c r="A42" s="3">
        <v>0.0</v>
      </c>
      <c r="B42" s="3">
        <v>-80.0</v>
      </c>
      <c r="C42" s="3">
        <v>-0.67</v>
      </c>
      <c r="D42" s="3">
        <v>-104.0</v>
      </c>
      <c r="E42" s="4">
        <f t="shared" ref="E42:F42" si="83">abs(A42-C42)</f>
        <v>0.67</v>
      </c>
      <c r="F42" s="4">
        <f t="shared" si="83"/>
        <v>24</v>
      </c>
      <c r="G42" s="4">
        <f t="shared" si="4"/>
        <v>24.00935026</v>
      </c>
      <c r="H42" s="4">
        <v>0.1297154416781763</v>
      </c>
      <c r="I42" s="4">
        <v>-79.6741278923786</v>
      </c>
      <c r="J42" s="4">
        <f t="shared" ref="J42:K42" si="84">ABS(H42-A42)</f>
        <v>0.1297154417</v>
      </c>
      <c r="K42" s="4">
        <f t="shared" si="84"/>
        <v>0.3258721076</v>
      </c>
      <c r="L42" s="4">
        <f t="shared" si="6"/>
        <v>0.3507402548</v>
      </c>
    </row>
    <row r="43" ht="15.75" customHeight="1">
      <c r="A43" s="3">
        <v>0.0</v>
      </c>
      <c r="B43" s="3">
        <v>-30.0</v>
      </c>
      <c r="C43" s="3">
        <v>-0.67</v>
      </c>
      <c r="D43" s="3">
        <v>-50.67</v>
      </c>
      <c r="E43" s="4">
        <f t="shared" ref="E43:F43" si="85">abs(A43-C43)</f>
        <v>0.67</v>
      </c>
      <c r="F43" s="4">
        <f t="shared" si="85"/>
        <v>20.67</v>
      </c>
      <c r="G43" s="4">
        <f t="shared" si="4"/>
        <v>20.68085588</v>
      </c>
      <c r="H43" s="4">
        <v>-0.06175008920954195</v>
      </c>
      <c r="I43" s="4">
        <v>-29.65456136622246</v>
      </c>
      <c r="J43" s="4">
        <f t="shared" ref="J43:K43" si="86">ABS(H43-A43)</f>
        <v>0.06175008921</v>
      </c>
      <c r="K43" s="4">
        <f t="shared" si="86"/>
        <v>0.3454386338</v>
      </c>
      <c r="L43" s="4">
        <f t="shared" si="6"/>
        <v>0.3509144101</v>
      </c>
    </row>
    <row r="44" ht="15.75" customHeight="1">
      <c r="A44" s="3">
        <v>0.0</v>
      </c>
      <c r="B44" s="3">
        <v>30.0</v>
      </c>
      <c r="C44" s="3">
        <v>0.0</v>
      </c>
      <c r="D44" s="3">
        <v>12.0</v>
      </c>
      <c r="E44" s="4">
        <f t="shared" ref="E44:F44" si="87">abs(A44-C44)</f>
        <v>0</v>
      </c>
      <c r="F44" s="4">
        <f t="shared" si="87"/>
        <v>18</v>
      </c>
      <c r="G44" s="4">
        <f t="shared" si="4"/>
        <v>18</v>
      </c>
      <c r="H44" s="4">
        <v>0.5578051049204533</v>
      </c>
      <c r="I44" s="4">
        <v>29.39160025564948</v>
      </c>
      <c r="J44" s="4">
        <f t="shared" ref="J44:K44" si="88">ABS(H44-A44)</f>
        <v>0.5578051049</v>
      </c>
      <c r="K44" s="4">
        <f t="shared" si="88"/>
        <v>0.6083997444</v>
      </c>
      <c r="L44" s="4">
        <f t="shared" si="6"/>
        <v>0.8254070414</v>
      </c>
    </row>
    <row r="45" ht="15.75" customHeight="1">
      <c r="A45" s="3">
        <v>0.0</v>
      </c>
      <c r="B45" s="3">
        <v>80.0</v>
      </c>
      <c r="C45" s="3">
        <v>-0.67</v>
      </c>
      <c r="D45" s="3">
        <v>64.67</v>
      </c>
      <c r="E45" s="4">
        <f t="shared" ref="E45:F45" si="89">abs(A45-C45)</f>
        <v>0.67</v>
      </c>
      <c r="F45" s="4">
        <f t="shared" si="89"/>
        <v>15.33</v>
      </c>
      <c r="G45" s="4">
        <f t="shared" si="4"/>
        <v>15.34463424</v>
      </c>
      <c r="H45" s="4">
        <v>0.07123841546576826</v>
      </c>
      <c r="I45" s="4">
        <v>79.23957351809744</v>
      </c>
      <c r="J45" s="4">
        <f t="shared" ref="J45:K45" si="90">ABS(H45-A45)</f>
        <v>0.07123841547</v>
      </c>
      <c r="K45" s="4">
        <f t="shared" si="90"/>
        <v>0.7604264819</v>
      </c>
      <c r="L45" s="4">
        <f t="shared" si="6"/>
        <v>0.7637560777</v>
      </c>
    </row>
    <row r="46" ht="15.75" customHeight="1">
      <c r="A46" s="6" t="s">
        <v>12</v>
      </c>
      <c r="B46" s="7"/>
      <c r="C46" s="7"/>
      <c r="D46" s="7"/>
      <c r="E46" s="8">
        <f t="shared" ref="E46:G46" si="91">MIN(E2:E45)</f>
        <v>0</v>
      </c>
      <c r="F46" s="8">
        <f t="shared" si="91"/>
        <v>5</v>
      </c>
      <c r="G46" s="8">
        <f t="shared" si="91"/>
        <v>5.173867026</v>
      </c>
      <c r="H46" s="8"/>
      <c r="I46" s="8"/>
      <c r="J46" s="8">
        <f t="shared" ref="J46:L46" si="92">MIN(J2:J45)</f>
        <v>0.006776299622</v>
      </c>
      <c r="K46" s="8">
        <f t="shared" si="92"/>
        <v>0.02396599436</v>
      </c>
      <c r="L46" s="8">
        <f t="shared" si="92"/>
        <v>0.121368957</v>
      </c>
    </row>
    <row r="47" ht="15.75" customHeight="1">
      <c r="A47" s="6" t="s">
        <v>13</v>
      </c>
      <c r="B47" s="7"/>
      <c r="C47" s="7"/>
      <c r="D47" s="7"/>
      <c r="E47" s="8">
        <f t="shared" ref="E47:G47" si="93">MAX(E2:E45)</f>
        <v>5.33</v>
      </c>
      <c r="F47" s="8">
        <f t="shared" si="93"/>
        <v>34.33</v>
      </c>
      <c r="G47" s="8">
        <f t="shared" si="93"/>
        <v>34.38820873</v>
      </c>
      <c r="H47" s="8"/>
      <c r="I47" s="8"/>
      <c r="J47" s="8">
        <f t="shared" ref="J47:L47" si="94">MAX(J2:J45)</f>
        <v>0.8077419565</v>
      </c>
      <c r="K47" s="8">
        <f t="shared" si="94"/>
        <v>1.56</v>
      </c>
      <c r="L47" s="8">
        <f t="shared" si="94"/>
        <v>1.741202907</v>
      </c>
    </row>
    <row r="48" ht="15.75" customHeight="1">
      <c r="A48" s="6" t="s">
        <v>14</v>
      </c>
      <c r="B48" s="7"/>
      <c r="C48" s="7"/>
      <c r="D48" s="7"/>
      <c r="E48" s="8">
        <f t="shared" ref="E48:G48" si="95">AVERAGE(E2:E45)</f>
        <v>2.379772727</v>
      </c>
      <c r="F48" s="8">
        <f t="shared" si="95"/>
        <v>19.34909091</v>
      </c>
      <c r="G48" s="8">
        <f t="shared" si="95"/>
        <v>19.59281753</v>
      </c>
      <c r="H48" s="8"/>
      <c r="I48" s="8"/>
      <c r="J48" s="8">
        <f t="shared" ref="J48:L48" si="96">AVERAGE(J2:J45)</f>
        <v>0.2340012592</v>
      </c>
      <c r="K48" s="8">
        <f t="shared" si="96"/>
        <v>0.5210684392</v>
      </c>
      <c r="L48" s="8">
        <f t="shared" si="96"/>
        <v>0.6110286064</v>
      </c>
    </row>
    <row r="49" ht="15.75" customHeight="1">
      <c r="A49" s="6" t="s">
        <v>15</v>
      </c>
      <c r="B49" s="7"/>
      <c r="C49" s="7"/>
      <c r="D49" s="7"/>
      <c r="E49" s="8"/>
      <c r="F49" s="8"/>
      <c r="G49" s="8"/>
      <c r="H49" s="8"/>
      <c r="I49" s="8"/>
      <c r="J49" s="8"/>
      <c r="K49" s="8"/>
      <c r="L49" s="8"/>
    </row>
    <row r="50" ht="15.75" customHeight="1">
      <c r="A50" s="6" t="s">
        <v>16</v>
      </c>
      <c r="B50" s="7"/>
      <c r="C50" s="7"/>
      <c r="D50" s="7"/>
      <c r="E50" s="9"/>
      <c r="F50" s="9"/>
      <c r="G50" s="9"/>
      <c r="H50" s="9"/>
      <c r="I50" s="9"/>
      <c r="J50" s="9"/>
      <c r="K50" s="9"/>
      <c r="L50" s="9"/>
    </row>
    <row r="51" ht="15.75" customHeight="1">
      <c r="A51" s="10">
        <v>1.0</v>
      </c>
      <c r="B51" s="11"/>
    </row>
    <row r="52" ht="15.75" customHeight="1">
      <c r="A52" s="10">
        <v>2.0</v>
      </c>
      <c r="B52" s="11"/>
    </row>
    <row r="53" ht="15.75" customHeight="1">
      <c r="A53" s="10">
        <v>3.0</v>
      </c>
      <c r="B53" s="11"/>
      <c r="E53" s="12"/>
      <c r="H53" s="12"/>
    </row>
    <row r="54" ht="15.75" customHeight="1">
      <c r="A54" s="10">
        <v>4.0</v>
      </c>
      <c r="B54" s="11"/>
      <c r="D54" s="13"/>
      <c r="E54" s="14"/>
      <c r="F54" s="14"/>
      <c r="G54" s="14"/>
      <c r="H54" s="14"/>
      <c r="I54" s="14"/>
      <c r="J54" s="14"/>
    </row>
    <row r="55" ht="15.75" customHeight="1">
      <c r="A55" s="10">
        <v>5.0</v>
      </c>
      <c r="B55" s="11"/>
      <c r="D55" s="13"/>
      <c r="E55" s="14"/>
      <c r="F55" s="14"/>
      <c r="G55" s="14"/>
      <c r="H55" s="14"/>
      <c r="I55" s="14"/>
      <c r="J55" s="14"/>
    </row>
    <row r="56" ht="15.75" customHeight="1">
      <c r="A56" s="10">
        <v>6.0</v>
      </c>
      <c r="B56" s="11"/>
      <c r="D56" s="13"/>
      <c r="E56" s="14"/>
      <c r="F56" s="14"/>
      <c r="G56" s="14"/>
      <c r="H56" s="14"/>
      <c r="I56" s="14"/>
      <c r="J56" s="14"/>
    </row>
    <row r="57" ht="15.75" customHeight="1">
      <c r="A57" s="10">
        <v>7.0</v>
      </c>
      <c r="B57" s="11"/>
      <c r="D57" s="13"/>
      <c r="E57" s="14"/>
      <c r="F57" s="14"/>
      <c r="G57" s="14"/>
      <c r="H57" s="14"/>
      <c r="I57" s="14"/>
      <c r="J57" s="14"/>
    </row>
    <row r="58" ht="15.75" customHeight="1">
      <c r="A58" s="10">
        <v>8.0</v>
      </c>
      <c r="B58" s="11"/>
    </row>
    <row r="59" ht="15.75" customHeight="1">
      <c r="A59" s="10">
        <v>9.0</v>
      </c>
      <c r="B59" s="11"/>
    </row>
    <row r="60" ht="15.75" customHeight="1">
      <c r="A60" s="10">
        <v>10.0</v>
      </c>
      <c r="B60" s="11"/>
    </row>
    <row r="61" ht="15.75" customHeight="1">
      <c r="A61" s="10">
        <v>11.0</v>
      </c>
      <c r="B61" s="11"/>
    </row>
    <row r="62" ht="15.75" customHeight="1">
      <c r="A62" s="10">
        <v>12.0</v>
      </c>
      <c r="B62" s="11"/>
    </row>
    <row r="63" ht="15.75" customHeight="1">
      <c r="A63" s="10">
        <v>13.0</v>
      </c>
      <c r="B63" s="11"/>
    </row>
    <row r="64" ht="15.75" customHeight="1">
      <c r="A64" s="10">
        <v>14.0</v>
      </c>
      <c r="B64" s="11"/>
    </row>
    <row r="65" ht="15.75" customHeight="1">
      <c r="A65" s="10">
        <v>15.0</v>
      </c>
      <c r="B65" s="11"/>
    </row>
    <row r="66" ht="15.75" customHeight="1">
      <c r="A66" s="10">
        <v>16.0</v>
      </c>
      <c r="B66" s="11"/>
    </row>
    <row r="67" ht="15.75" customHeight="1">
      <c r="A67" s="10">
        <v>17.0</v>
      </c>
      <c r="B67" s="11"/>
    </row>
    <row r="68" ht="15.75" customHeight="1">
      <c r="A68" s="10">
        <v>18.0</v>
      </c>
      <c r="B68" s="11"/>
    </row>
    <row r="69" ht="15.75" customHeight="1">
      <c r="A69" s="10">
        <v>19.0</v>
      </c>
      <c r="B69" s="11"/>
    </row>
    <row r="70" ht="15.75" customHeight="1">
      <c r="A70" s="10">
        <v>20.0</v>
      </c>
      <c r="B70" s="11"/>
    </row>
    <row r="71" ht="15.75" customHeight="1">
      <c r="A71" s="10">
        <v>21.0</v>
      </c>
      <c r="B71" s="11"/>
    </row>
    <row r="72" ht="15.75" customHeight="1">
      <c r="A72" s="10">
        <v>22.0</v>
      </c>
      <c r="B72" s="11"/>
    </row>
    <row r="73" ht="15.75" customHeight="1">
      <c r="A73" s="10">
        <v>23.0</v>
      </c>
      <c r="B73" s="11"/>
    </row>
    <row r="74" ht="15.75" customHeight="1">
      <c r="A74" s="10">
        <v>24.0</v>
      </c>
      <c r="B74" s="11"/>
    </row>
    <row r="75" ht="15.75" customHeight="1">
      <c r="A75" s="10">
        <v>25.0</v>
      </c>
      <c r="B75" s="11"/>
    </row>
    <row r="76" ht="15.75" customHeight="1">
      <c r="A76" s="10">
        <v>26.0</v>
      </c>
      <c r="B76" s="11"/>
    </row>
    <row r="77" ht="15.75" customHeight="1">
      <c r="A77" s="10">
        <v>27.0</v>
      </c>
      <c r="B77" s="11"/>
    </row>
    <row r="78" ht="15.75" customHeight="1">
      <c r="A78" s="10">
        <v>28.0</v>
      </c>
      <c r="B78" s="11"/>
    </row>
    <row r="79" ht="15.75" customHeight="1">
      <c r="A79" s="10">
        <v>29.0</v>
      </c>
      <c r="B79" s="11"/>
    </row>
    <row r="80" ht="15.75" customHeight="1">
      <c r="A80" s="10">
        <v>30.0</v>
      </c>
      <c r="B80" s="11"/>
    </row>
    <row r="81" ht="15.75" customHeight="1">
      <c r="A81" s="10">
        <v>31.0</v>
      </c>
      <c r="B81" s="11"/>
    </row>
    <row r="82" ht="15.75" customHeight="1">
      <c r="A82" s="10">
        <v>32.0</v>
      </c>
      <c r="B82" s="11"/>
    </row>
    <row r="83" ht="15.75" customHeight="1">
      <c r="A83" s="10">
        <v>33.0</v>
      </c>
      <c r="B83" s="11"/>
    </row>
    <row r="84" ht="15.75" customHeight="1">
      <c r="A84" s="10">
        <v>34.0</v>
      </c>
      <c r="B84" s="11"/>
    </row>
    <row r="85" ht="15.75" customHeight="1">
      <c r="A85" s="10">
        <v>35.0</v>
      </c>
      <c r="B85" s="11"/>
    </row>
    <row r="86" ht="15.75" customHeight="1">
      <c r="A86" s="10">
        <v>36.0</v>
      </c>
      <c r="B86" s="11"/>
    </row>
    <row r="87" ht="15.75" customHeight="1">
      <c r="A87" s="10">
        <v>37.0</v>
      </c>
      <c r="B87" s="11"/>
    </row>
    <row r="88" ht="15.75" customHeight="1">
      <c r="A88" s="10">
        <v>38.0</v>
      </c>
      <c r="B88" s="11"/>
    </row>
    <row r="89" ht="15.75" customHeight="1">
      <c r="A89" s="10">
        <v>39.0</v>
      </c>
      <c r="B89" s="11"/>
    </row>
    <row r="90" ht="15.75" customHeight="1">
      <c r="A90" s="10">
        <v>40.0</v>
      </c>
      <c r="B90" s="11"/>
    </row>
    <row r="91" ht="15.75" customHeight="1">
      <c r="A91" s="10">
        <v>41.0</v>
      </c>
      <c r="B91" s="11"/>
    </row>
    <row r="92" ht="15.75" customHeight="1">
      <c r="A92" s="10">
        <v>42.0</v>
      </c>
      <c r="B92" s="11"/>
    </row>
    <row r="93" ht="15.75" customHeight="1">
      <c r="A93" s="10">
        <v>43.0</v>
      </c>
      <c r="B93" s="11"/>
    </row>
    <row r="94" ht="15.75" customHeight="1">
      <c r="A94" s="10">
        <v>44.0</v>
      </c>
      <c r="B94" s="11"/>
    </row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E53:G53"/>
    <mergeCell ref="H53:J53"/>
  </mergeCells>
  <dataValidations>
    <dataValidation type="custom" allowBlank="1" showDropDown="1" sqref="E2:L50">
      <formula1>AND(ISNUMBER(E2),(NOT(OR(NOT(ISERROR(DATEVALUE(E2))), AND(ISNUMBER(E2), LEFT(CELL("format", E2))="D")))))</formula1>
    </dataValidation>
  </dataValidations>
  <printOptions/>
  <pageMargins bottom="1.0" footer="0.0" header="0.0" left="0.75" right="0.75" top="1.0"/>
  <pageSetup orientation="landscape"/>
  <drawing r:id="rId1"/>
  <tableParts count="4">
    <tablePart r:id="rId6"/>
    <tablePart r:id="rId7"/>
    <tablePart r:id="rId8"/>
    <tablePart r:id="rId9"/>
  </tableParts>
</worksheet>
</file>